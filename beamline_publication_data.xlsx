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3" max="3"/>
    <col width="13" customWidth="1" min="4" max="4"/>
    <col width="15.6" customWidth="1" min="5" max="5"/>
    <col width="20.28" customWidth="1" min="6" max="6"/>
    <col width="24.336" customWidth="1" min="7" max="7"/>
    <col width="24.336" customWidth="1" min="8" max="8"/>
    <col width="24.336" customWidth="1" min="9" max="9"/>
    <col width="24.336" customWidth="1" min="10" max="10"/>
  </cols>
  <sheetData>
    <row r="1">
      <c r="A1" s="1" t="inlineStr">
        <is>
          <t>port</t>
        </is>
      </c>
      <c r="B1" s="1" t="inlineStr">
        <is>
          <t>TLA</t>
        </is>
      </c>
      <c r="C1" s="1" t="inlineStr">
        <is>
          <t>program</t>
        </is>
      </c>
      <c r="D1" s="1" t="inlineStr">
        <is>
          <t>total</t>
        </is>
      </c>
      <c r="E1" s="1" t="inlineStr">
        <is>
          <t>high profile</t>
        </is>
      </c>
      <c r="F1" s="1" t="inlineStr">
        <is>
          <t>years operating</t>
        </is>
      </c>
      <c r="G1" s="1" t="inlineStr">
        <is>
          <t>% high profile</t>
        </is>
      </c>
      <c r="H1" s="1" t="inlineStr">
        <is>
          <t>pubs per year</t>
        </is>
      </c>
      <c r="I1" s="1" t="inlineStr">
        <is>
          <t>total citations</t>
        </is>
      </c>
      <c r="J1" s="1" t="inlineStr">
        <is>
          <t>citations per paper</t>
        </is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/>
    <row r="3">
      <c r="A3" t="inlineStr">
        <is>
          <t>2-ID</t>
        </is>
      </c>
      <c r="B3" t="inlineStr">
        <is>
          <t>SIX</t>
        </is>
      </c>
      <c r="C3" t="inlineStr">
        <is>
          <t>Electronic Structure Techniques</t>
        </is>
      </c>
      <c r="D3" t="n">
        <v>54</v>
      </c>
      <c r="E3" t="n">
        <v>27</v>
      </c>
      <c r="F3" t="n">
        <v>11</v>
      </c>
      <c r="G3" s="2">
        <f>E3/D3</f>
        <v/>
      </c>
      <c r="H3" s="2">
        <f>D3/F3</f>
        <v/>
      </c>
      <c r="I3" t="n">
        <v>899</v>
      </c>
      <c r="J3" s="2">
        <f>I3/D3</f>
        <v/>
      </c>
    </row>
    <row r="4">
      <c r="A4" t="inlineStr">
        <is>
          <t>3-ID</t>
        </is>
      </c>
      <c r="B4" t="inlineStr">
        <is>
          <t>HXN</t>
        </is>
      </c>
      <c r="C4" t="inlineStr">
        <is>
          <t>Imaging and Microscopy</t>
        </is>
      </c>
      <c r="D4" t="n">
        <v>246</v>
      </c>
      <c r="E4" t="n">
        <v>72</v>
      </c>
      <c r="F4" t="n">
        <v>16</v>
      </c>
      <c r="G4" s="2">
        <f>E4/D4</f>
        <v/>
      </c>
      <c r="H4" s="2">
        <f>D4/F4</f>
        <v/>
      </c>
      <c r="I4" t="n">
        <v>6486</v>
      </c>
      <c r="J4" s="2">
        <f>I4/D4</f>
        <v/>
      </c>
    </row>
    <row r="5">
      <c r="A5" t="inlineStr">
        <is>
          <t>4-BM</t>
        </is>
      </c>
      <c r="B5" t="inlineStr">
        <is>
          <t>XFM</t>
        </is>
      </c>
      <c r="C5" t="inlineStr">
        <is>
          <t>BioImaging</t>
        </is>
      </c>
      <c r="D5" t="n">
        <v>148</v>
      </c>
      <c r="E5" t="n">
        <v>43</v>
      </c>
      <c r="F5" t="n">
        <v>9</v>
      </c>
      <c r="G5" s="2">
        <f>E5/D5</f>
        <v/>
      </c>
      <c r="H5" s="2">
        <f>D5/F5</f>
        <v/>
      </c>
      <c r="I5" t="n">
        <v>1934</v>
      </c>
      <c r="J5" s="2">
        <f>I5/D5</f>
        <v/>
      </c>
    </row>
    <row r="6">
      <c r="A6" t="inlineStr">
        <is>
          <t>4-ID</t>
        </is>
      </c>
      <c r="B6" t="inlineStr">
        <is>
          <t>ISR</t>
        </is>
      </c>
      <c r="C6" t="inlineStr">
        <is>
          <t>Complex Scattering</t>
        </is>
      </c>
      <c r="D6" t="n">
        <v>66</v>
      </c>
      <c r="E6" t="n">
        <v>20</v>
      </c>
      <c r="F6" t="n">
        <v>8</v>
      </c>
      <c r="G6" s="2">
        <f>E6/D6</f>
        <v/>
      </c>
      <c r="H6" s="2">
        <f>D6/F6</f>
        <v/>
      </c>
      <c r="I6" t="n">
        <v>1204</v>
      </c>
      <c r="J6" s="2">
        <f>I6/D6</f>
        <v/>
      </c>
    </row>
    <row r="7">
      <c r="A7" t="inlineStr">
        <is>
          <t>5-ID</t>
        </is>
      </c>
      <c r="B7" t="inlineStr">
        <is>
          <t>SRX</t>
        </is>
      </c>
      <c r="C7" t="inlineStr">
        <is>
          <t>Imaging and Microscopy</t>
        </is>
      </c>
      <c r="D7" t="n">
        <v>123</v>
      </c>
      <c r="E7" t="n">
        <v>37</v>
      </c>
      <c r="F7" t="n">
        <v>14</v>
      </c>
      <c r="G7" s="2">
        <f>E7/D7</f>
        <v/>
      </c>
      <c r="H7" s="2">
        <f>D7/F7</f>
        <v/>
      </c>
      <c r="I7" t="n">
        <v>4128</v>
      </c>
      <c r="J7" s="2">
        <f>I7/D7</f>
        <v/>
      </c>
    </row>
    <row r="8">
      <c r="A8" t="inlineStr">
        <is>
          <t>6-BM</t>
        </is>
      </c>
      <c r="B8" t="inlineStr">
        <is>
          <t>BMM</t>
        </is>
      </c>
      <c r="C8" t="inlineStr">
        <is>
          <t>Spectroscopy</t>
        </is>
      </c>
      <c r="D8" t="n">
        <v>219</v>
      </c>
      <c r="E8" t="n">
        <v>79</v>
      </c>
      <c r="F8" t="n">
        <v>9</v>
      </c>
      <c r="G8" s="2">
        <f>E8/D8</f>
        <v/>
      </c>
      <c r="H8" s="2">
        <f>D8/F8</f>
        <v/>
      </c>
      <c r="I8" t="n">
        <v>3987</v>
      </c>
      <c r="J8" s="2">
        <f>I8/D8</f>
        <v/>
      </c>
    </row>
    <row r="9">
      <c r="A9" t="inlineStr">
        <is>
          <t>7-BM</t>
        </is>
      </c>
      <c r="B9" t="inlineStr">
        <is>
          <t>QAS</t>
        </is>
      </c>
      <c r="C9" t="inlineStr">
        <is>
          <t>Spectroscopy</t>
        </is>
      </c>
      <c r="D9" t="n">
        <v>635</v>
      </c>
      <c r="E9" t="n">
        <v>436</v>
      </c>
      <c r="F9" t="n">
        <v>9</v>
      </c>
      <c r="G9" s="2">
        <f>E9/D9</f>
        <v/>
      </c>
      <c r="H9" s="2">
        <f>D9/F9</f>
        <v/>
      </c>
      <c r="I9" t="n">
        <v>31852</v>
      </c>
      <c r="J9" s="2">
        <f>I9/D9</f>
        <v/>
      </c>
    </row>
    <row r="10">
      <c r="A10" t="inlineStr">
        <is>
          <t>7-ID-1</t>
        </is>
      </c>
      <c r="B10" t="inlineStr">
        <is>
          <t>SST1</t>
        </is>
      </c>
      <c r="C10" t="inlineStr">
        <is>
          <t>Spectroscopy</t>
        </is>
      </c>
      <c r="D10" t="n">
        <v>99</v>
      </c>
      <c r="E10" t="n">
        <v>58</v>
      </c>
      <c r="F10" t="n">
        <v>9</v>
      </c>
      <c r="G10" s="2">
        <f>E10/D10</f>
        <v/>
      </c>
      <c r="H10" s="2">
        <f>D10/F10</f>
        <v/>
      </c>
      <c r="I10" t="n">
        <v>3288</v>
      </c>
      <c r="J10" s="2">
        <f>I10/D10</f>
        <v/>
      </c>
    </row>
    <row r="11">
      <c r="A11" t="inlineStr">
        <is>
          <t>7-ID-2</t>
        </is>
      </c>
      <c r="B11" t="inlineStr">
        <is>
          <t>SST2</t>
        </is>
      </c>
      <c r="C11" t="inlineStr">
        <is>
          <t>Spectroscopy</t>
        </is>
      </c>
      <c r="D11" t="n">
        <v>65</v>
      </c>
      <c r="E11" t="n">
        <v>30</v>
      </c>
      <c r="F11" t="n">
        <v>8</v>
      </c>
      <c r="G11" s="2">
        <f>E11/D11</f>
        <v/>
      </c>
      <c r="H11" s="2">
        <f>D11/F11</f>
        <v/>
      </c>
      <c r="I11" t="n">
        <v>818</v>
      </c>
      <c r="J11" s="2">
        <f>I11/D11</f>
        <v/>
      </c>
    </row>
    <row r="12">
      <c r="A12" t="inlineStr">
        <is>
          <t>8-BM</t>
        </is>
      </c>
      <c r="B12" t="inlineStr">
        <is>
          <t>TES</t>
        </is>
      </c>
      <c r="C12" t="inlineStr">
        <is>
          <t>Spectroscopy</t>
        </is>
      </c>
      <c r="D12" t="n">
        <v>158</v>
      </c>
      <c r="E12" t="n">
        <v>75</v>
      </c>
      <c r="F12" t="n">
        <v>10</v>
      </c>
      <c r="G12" s="2">
        <f>E12/D12</f>
        <v/>
      </c>
      <c r="H12" s="2">
        <f>D12/F12</f>
        <v/>
      </c>
      <c r="I12" t="n">
        <v>4401</v>
      </c>
      <c r="J12" s="2">
        <f>I12/D12</f>
        <v/>
      </c>
    </row>
    <row r="13">
      <c r="A13" t="inlineStr">
        <is>
          <t>8-ID</t>
        </is>
      </c>
      <c r="B13" t="inlineStr">
        <is>
          <t>ISS</t>
        </is>
      </c>
      <c r="C13" t="inlineStr">
        <is>
          <t>Spectroscopy</t>
        </is>
      </c>
      <c r="D13" t="n">
        <v>358</v>
      </c>
      <c r="E13" t="n">
        <v>196</v>
      </c>
      <c r="F13" t="n">
        <v>11</v>
      </c>
      <c r="G13" s="2">
        <f>E13/D13</f>
        <v/>
      </c>
      <c r="H13" s="2">
        <f>D13/F13</f>
        <v/>
      </c>
      <c r="I13" t="n">
        <v>22368</v>
      </c>
      <c r="J13" s="2">
        <f>I13/D13</f>
        <v/>
      </c>
    </row>
    <row r="14">
      <c r="A14" t="inlineStr">
        <is>
          <t>10-ID</t>
        </is>
      </c>
      <c r="B14" t="inlineStr">
        <is>
          <t>IXS</t>
        </is>
      </c>
      <c r="C14" t="inlineStr">
        <is>
          <t>Complex Scattering</t>
        </is>
      </c>
      <c r="D14" t="n">
        <v>45</v>
      </c>
      <c r="E14" t="n">
        <v>6</v>
      </c>
      <c r="F14" t="n">
        <v>16</v>
      </c>
      <c r="G14" s="2">
        <f>E14/D14</f>
        <v/>
      </c>
      <c r="H14" s="2">
        <f>D14/F14</f>
        <v/>
      </c>
      <c r="I14" t="n">
        <v>240</v>
      </c>
      <c r="J14" s="2">
        <f>I14/D14</f>
        <v/>
      </c>
    </row>
    <row r="15">
      <c r="A15" t="inlineStr">
        <is>
          <t>11-BM</t>
        </is>
      </c>
      <c r="B15" t="inlineStr">
        <is>
          <t>CMS</t>
        </is>
      </c>
      <c r="C15" t="inlineStr">
        <is>
          <t>Complex Scattering</t>
        </is>
      </c>
      <c r="D15" t="n">
        <v>623</v>
      </c>
      <c r="E15" t="n">
        <v>321</v>
      </c>
      <c r="F15" t="n">
        <v>10</v>
      </c>
      <c r="G15" s="2">
        <f>E15/D15</f>
        <v/>
      </c>
      <c r="H15" s="2">
        <f>D15/F15</f>
        <v/>
      </c>
      <c r="I15" t="n">
        <v>20549</v>
      </c>
      <c r="J15" s="2">
        <f>I15/D15</f>
        <v/>
      </c>
    </row>
    <row r="16">
      <c r="A16" t="inlineStr">
        <is>
          <t>11-ID</t>
        </is>
      </c>
      <c r="B16" t="inlineStr">
        <is>
          <t>CHX</t>
        </is>
      </c>
      <c r="C16" t="inlineStr">
        <is>
          <t>Complex Scattering</t>
        </is>
      </c>
      <c r="D16" t="n">
        <v>100</v>
      </c>
      <c r="E16" t="n">
        <v>22</v>
      </c>
      <c r="F16" t="n">
        <v>12</v>
      </c>
      <c r="G16" s="2">
        <f>E16/D16</f>
        <v/>
      </c>
      <c r="H16" s="2">
        <f>D16/F16</f>
        <v/>
      </c>
      <c r="I16" t="n">
        <v>1175</v>
      </c>
      <c r="J16" s="2">
        <f>I16/D16</f>
        <v/>
      </c>
    </row>
    <row r="17">
      <c r="A17" t="inlineStr">
        <is>
          <t>12-ID</t>
        </is>
      </c>
      <c r="B17" t="inlineStr">
        <is>
          <t>SMI</t>
        </is>
      </c>
      <c r="C17" t="inlineStr">
        <is>
          <t>Complex Scattering</t>
        </is>
      </c>
      <c r="D17" t="n">
        <v>234</v>
      </c>
      <c r="E17" t="n">
        <v>98</v>
      </c>
      <c r="F17" t="n">
        <v>11</v>
      </c>
      <c r="G17" s="2">
        <f>E17/D17</f>
        <v/>
      </c>
      <c r="H17" s="2">
        <f>D17/F17</f>
        <v/>
      </c>
      <c r="I17" t="n">
        <v>4079</v>
      </c>
      <c r="J17" s="2">
        <f>I17/D17</f>
        <v/>
      </c>
    </row>
    <row r="18">
      <c r="A18" t="inlineStr">
        <is>
          <t>16-ID</t>
        </is>
      </c>
      <c r="B18" t="inlineStr">
        <is>
          <t>LiX</t>
        </is>
      </c>
      <c r="C18" t="inlineStr">
        <is>
          <t>Structural Biology</t>
        </is>
      </c>
      <c r="D18" t="n">
        <v>252</v>
      </c>
      <c r="E18" t="n">
        <v>81</v>
      </c>
      <c r="F18" t="n">
        <v>13</v>
      </c>
      <c r="G18" s="2">
        <f>E18/D18</f>
        <v/>
      </c>
      <c r="H18" s="2">
        <f>D18/F18</f>
        <v/>
      </c>
      <c r="I18" t="n">
        <v>3633</v>
      </c>
      <c r="J18" s="2">
        <f>I18/D18</f>
        <v/>
      </c>
    </row>
    <row r="19">
      <c r="A19" t="inlineStr">
        <is>
          <t>17-BM</t>
        </is>
      </c>
      <c r="B19" t="inlineStr">
        <is>
          <t>XFP</t>
        </is>
      </c>
      <c r="C19" t="inlineStr">
        <is>
          <t>Structural Biology</t>
        </is>
      </c>
      <c r="D19" t="n">
        <v>44</v>
      </c>
      <c r="E19" t="n">
        <v>7</v>
      </c>
      <c r="F19" t="n">
        <v>10</v>
      </c>
      <c r="G19" s="2">
        <f>E19/D19</f>
        <v/>
      </c>
      <c r="H19" s="2">
        <f>D19/F19</f>
        <v/>
      </c>
      <c r="I19" t="n">
        <v>603</v>
      </c>
      <c r="J19" s="2">
        <f>I19/D19</f>
        <v/>
      </c>
    </row>
    <row r="20">
      <c r="A20" t="inlineStr">
        <is>
          <t>17-ID-1</t>
        </is>
      </c>
      <c r="B20" t="inlineStr">
        <is>
          <t>AMX</t>
        </is>
      </c>
      <c r="C20" t="inlineStr">
        <is>
          <t>Structural Biology</t>
        </is>
      </c>
      <c r="D20" t="n">
        <v>471</v>
      </c>
      <c r="E20" t="n">
        <v>218</v>
      </c>
      <c r="F20" t="n">
        <v>13</v>
      </c>
      <c r="G20" s="2">
        <f>E20/D20</f>
        <v/>
      </c>
      <c r="H20" s="2">
        <f>D20/F20</f>
        <v/>
      </c>
      <c r="I20" t="n">
        <v>9554</v>
      </c>
      <c r="J20" s="2">
        <f>I20/D20</f>
        <v/>
      </c>
    </row>
    <row r="21">
      <c r="A21" t="inlineStr">
        <is>
          <t>17-ID-2</t>
        </is>
      </c>
      <c r="B21" t="inlineStr">
        <is>
          <t>FMX</t>
        </is>
      </c>
      <c r="C21" t="inlineStr">
        <is>
          <t>Structural Biology</t>
        </is>
      </c>
      <c r="D21" t="n">
        <v>347</v>
      </c>
      <c r="E21" t="n">
        <v>166</v>
      </c>
      <c r="F21" t="n">
        <v>13</v>
      </c>
      <c r="G21" s="2">
        <f>E21/D21</f>
        <v/>
      </c>
      <c r="H21" s="2">
        <f>D21/F21</f>
        <v/>
      </c>
      <c r="I21" t="n">
        <v>7092</v>
      </c>
      <c r="J21" s="2">
        <f>I21/D21</f>
        <v/>
      </c>
    </row>
    <row r="22">
      <c r="A22" t="inlineStr">
        <is>
          <t>18-ID</t>
        </is>
      </c>
      <c r="B22" t="inlineStr">
        <is>
          <t>FXI</t>
        </is>
      </c>
      <c r="C22" t="inlineStr">
        <is>
          <t>Imaging and Microscopy</t>
        </is>
      </c>
      <c r="D22" t="n">
        <v>166</v>
      </c>
      <c r="E22" t="n">
        <v>116</v>
      </c>
      <c r="F22" t="n">
        <v>10</v>
      </c>
      <c r="G22" s="2">
        <f>E22/D22</f>
        <v/>
      </c>
      <c r="H22" s="2">
        <f>D22/F22</f>
        <v/>
      </c>
      <c r="I22" t="n">
        <v>7541</v>
      </c>
      <c r="J22" s="2">
        <f>I22/D22</f>
        <v/>
      </c>
    </row>
    <row r="23">
      <c r="A23" t="inlineStr">
        <is>
          <t>19-ID</t>
        </is>
      </c>
      <c r="B23" t="inlineStr">
        <is>
          <t>NYX</t>
        </is>
      </c>
      <c r="C23" t="inlineStr">
        <is>
          <t>Structural Biology</t>
        </is>
      </c>
      <c r="D23" t="n">
        <v>69</v>
      </c>
      <c r="E23" t="n">
        <v>22</v>
      </c>
      <c r="F23" t="n">
        <v>9</v>
      </c>
      <c r="G23" s="2">
        <f>E23/D23</f>
        <v/>
      </c>
      <c r="H23" s="2">
        <f>D23/F23</f>
        <v/>
      </c>
      <c r="I23" t="n">
        <v>537</v>
      </c>
      <c r="J23" s="2">
        <f>I23/D23</f>
        <v/>
      </c>
    </row>
    <row r="24">
      <c r="A24" t="inlineStr">
        <is>
          <t>21-ID</t>
        </is>
      </c>
      <c r="B24" t="inlineStr">
        <is>
          <t>ESM</t>
        </is>
      </c>
      <c r="C24" t="inlineStr">
        <is>
          <t>Electronic Structure Techniques</t>
        </is>
      </c>
      <c r="D24" t="n">
        <v>117</v>
      </c>
      <c r="E24" t="n">
        <v>55</v>
      </c>
      <c r="F24" t="n">
        <v>9</v>
      </c>
      <c r="G24" s="2">
        <f>E24/D24</f>
        <v/>
      </c>
      <c r="H24" s="2">
        <f>D24/F24</f>
        <v/>
      </c>
      <c r="I24" t="n">
        <v>2703</v>
      </c>
      <c r="J24" s="2">
        <f>I24/D24</f>
        <v/>
      </c>
    </row>
    <row r="25">
      <c r="A25" t="inlineStr">
        <is>
          <t>22-IR-1</t>
        </is>
      </c>
      <c r="B25" t="inlineStr">
        <is>
          <t>FIS</t>
        </is>
      </c>
      <c r="C25" t="inlineStr">
        <is>
          <t>Electronic Structure Techniques</t>
        </is>
      </c>
      <c r="D25" t="n">
        <v>84</v>
      </c>
      <c r="E25" t="n">
        <v>28</v>
      </c>
      <c r="F25" t="n">
        <v>10</v>
      </c>
      <c r="G25" s="2">
        <f>E25/D25</f>
        <v/>
      </c>
      <c r="H25" s="2">
        <f>D25/F25</f>
        <v/>
      </c>
      <c r="I25" t="n">
        <v>1880</v>
      </c>
      <c r="J25" s="2">
        <f>I25/D25</f>
        <v/>
      </c>
    </row>
    <row r="26">
      <c r="A26" t="inlineStr">
        <is>
          <t>22-IR-2</t>
        </is>
      </c>
      <c r="B26" t="inlineStr">
        <is>
          <t>MET</t>
        </is>
      </c>
      <c r="C26" t="inlineStr">
        <is>
          <t>Electronic Structure Techniques</t>
        </is>
      </c>
      <c r="D26" t="n">
        <v>14</v>
      </c>
      <c r="E26" t="n">
        <v>7</v>
      </c>
      <c r="F26" t="n">
        <v>4</v>
      </c>
      <c r="G26" s="2">
        <f>E26/D26</f>
        <v/>
      </c>
      <c r="H26" s="2">
        <f>D26/F26</f>
        <v/>
      </c>
      <c r="I26" t="n">
        <v>178</v>
      </c>
      <c r="J26" s="2">
        <f>I26/D26</f>
        <v/>
      </c>
    </row>
    <row r="27">
      <c r="A27" t="inlineStr">
        <is>
          <t>23-ID-1</t>
        </is>
      </c>
      <c r="B27" t="inlineStr">
        <is>
          <t>CSX</t>
        </is>
      </c>
      <c r="C27" t="inlineStr">
        <is>
          <t>Electronic Structure Techniques</t>
        </is>
      </c>
      <c r="D27" t="n">
        <v>53</v>
      </c>
      <c r="E27" t="n">
        <v>19</v>
      </c>
      <c r="F27" t="n">
        <v>12</v>
      </c>
      <c r="G27" s="2">
        <f>E27/D27</f>
        <v/>
      </c>
      <c r="H27" s="2">
        <f>D27/F27</f>
        <v/>
      </c>
      <c r="I27" t="n">
        <v>954</v>
      </c>
      <c r="J27" s="2">
        <f>I27/D27</f>
        <v/>
      </c>
    </row>
    <row r="28">
      <c r="A28" t="inlineStr">
        <is>
          <t>23-ID-2</t>
        </is>
      </c>
      <c r="B28" t="inlineStr">
        <is>
          <t>IOS</t>
        </is>
      </c>
      <c r="C28" t="inlineStr">
        <is>
          <t>Spectroscopy</t>
        </is>
      </c>
      <c r="D28" t="n">
        <v>205</v>
      </c>
      <c r="E28" t="n">
        <v>115</v>
      </c>
      <c r="F28" t="n">
        <v>12</v>
      </c>
      <c r="G28" s="2">
        <f>E28/D28</f>
        <v/>
      </c>
      <c r="H28" s="2">
        <f>D28/F28</f>
        <v/>
      </c>
      <c r="I28" t="n">
        <v>8319</v>
      </c>
      <c r="J28" s="2">
        <f>I28/D28</f>
        <v/>
      </c>
    </row>
    <row r="29">
      <c r="A29" t="inlineStr">
        <is>
          <t>27-ID</t>
        </is>
      </c>
      <c r="B29" t="inlineStr">
        <is>
          <t>HEX</t>
        </is>
      </c>
      <c r="C29" t="inlineStr">
        <is>
          <t>Hard X-ray Methods</t>
        </is>
      </c>
      <c r="D29" t="n">
        <v>21</v>
      </c>
      <c r="E29" t="n">
        <v>7</v>
      </c>
      <c r="F29" t="n">
        <v>7</v>
      </c>
      <c r="G29" s="2">
        <f>E29/D29</f>
        <v/>
      </c>
      <c r="H29" s="2">
        <f>D29/F29</f>
        <v/>
      </c>
      <c r="I29" t="n">
        <v>63</v>
      </c>
      <c r="J29" s="2">
        <f>I29/D29</f>
        <v/>
      </c>
    </row>
    <row r="30">
      <c r="A30" t="inlineStr">
        <is>
          <t>28-ID-1</t>
        </is>
      </c>
      <c r="B30" t="inlineStr">
        <is>
          <t>PDF</t>
        </is>
      </c>
      <c r="C30" t="inlineStr">
        <is>
          <t>Hard X-ray Methods</t>
        </is>
      </c>
      <c r="D30" t="n">
        <v>309</v>
      </c>
      <c r="E30" t="n">
        <v>153</v>
      </c>
      <c r="F30" t="n">
        <v>10</v>
      </c>
      <c r="G30" s="2">
        <f>E30/D30</f>
        <v/>
      </c>
      <c r="H30" s="2">
        <f>D30/F30</f>
        <v/>
      </c>
      <c r="I30" t="n">
        <v>6395</v>
      </c>
      <c r="J30" s="2">
        <f>I30/D30</f>
        <v/>
      </c>
    </row>
    <row r="31">
      <c r="A31" t="inlineStr">
        <is>
          <t>28-ID-2</t>
        </is>
      </c>
      <c r="B31" t="inlineStr">
        <is>
          <t>XPD</t>
        </is>
      </c>
      <c r="C31" t="inlineStr">
        <is>
          <t>Hard X-ray Methods</t>
        </is>
      </c>
      <c r="D31" t="n">
        <v>449</v>
      </c>
      <c r="E31" t="n">
        <v>222</v>
      </c>
      <c r="F31" t="n">
        <v>13</v>
      </c>
      <c r="G31" s="2">
        <f>E31/D31</f>
        <v/>
      </c>
      <c r="H31" s="2">
        <f>D31/F31</f>
        <v/>
      </c>
      <c r="I31" t="n">
        <v>21210</v>
      </c>
      <c r="J31" s="2">
        <f>I31/D31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2026-06-30T12:23:09Z</dcterms:created>
  <dcterms:modified xmlns:dcterms="http://purl.org/dc/terms/" xmlns:xsi="http://www.w3.org/2001/XMLSchema-instance" xsi:type="dcterms:W3CDTF">2026-06-30T12:24:39Z</dcterms:modified>
</cp:coreProperties>
</file>